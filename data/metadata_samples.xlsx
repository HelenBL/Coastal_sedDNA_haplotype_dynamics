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na Baños\Desktop\Doctorat\Doctorat\ALL_DATA\Haplotypes_manuscript\Data\"/>
    </mc:Choice>
  </mc:AlternateContent>
  <xr:revisionPtr revIDLastSave="0" documentId="13_ncr:1_{872252FD-E99A-454A-B466-6E8AD6DDDC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D72" i="1"/>
  <c r="D117" i="1"/>
  <c r="D118" i="1"/>
  <c r="D119" i="1"/>
  <c r="D120" i="1"/>
  <c r="D121" i="1"/>
  <c r="D122" i="1"/>
  <c r="D123" i="1"/>
  <c r="D124" i="1"/>
  <c r="D125" i="1"/>
  <c r="D116" i="1"/>
  <c r="D64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85" i="1"/>
  <c r="D70" i="1"/>
  <c r="D71" i="1"/>
  <c r="D73" i="1"/>
  <c r="D74" i="1"/>
  <c r="D75" i="1"/>
  <c r="D76" i="1"/>
  <c r="D77" i="1"/>
  <c r="D78" i="1"/>
  <c r="D79" i="1"/>
  <c r="D80" i="1"/>
  <c r="D81" i="1"/>
  <c r="D82" i="1"/>
  <c r="D83" i="1"/>
  <c r="D84" i="1"/>
  <c r="D69" i="1"/>
  <c r="D58" i="1"/>
  <c r="D59" i="1"/>
  <c r="D60" i="1"/>
  <c r="D61" i="1"/>
  <c r="D62" i="1"/>
  <c r="D63" i="1"/>
  <c r="D65" i="1"/>
  <c r="D66" i="1"/>
  <c r="D67" i="1"/>
  <c r="D68" i="1"/>
  <c r="D57" i="1"/>
  <c r="D2" i="1" l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15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01" i="1"/>
  <c r="D46" i="1" l="1"/>
  <c r="D47" i="1"/>
  <c r="D48" i="1"/>
  <c r="D49" i="1"/>
  <c r="D50" i="1"/>
  <c r="D51" i="1"/>
  <c r="D52" i="1"/>
  <c r="D53" i="1"/>
  <c r="D54" i="1"/>
  <c r="D55" i="1"/>
  <c r="D56" i="1"/>
  <c r="D45" i="1"/>
  <c r="D34" i="1"/>
  <c r="D35" i="1"/>
  <c r="D36" i="1"/>
  <c r="D37" i="1"/>
  <c r="D38" i="1"/>
  <c r="D39" i="1"/>
  <c r="D40" i="1"/>
  <c r="D41" i="1"/>
  <c r="D42" i="1"/>
  <c r="D43" i="1"/>
  <c r="D44" i="1"/>
  <c r="D33" i="1"/>
</calcChain>
</file>

<file path=xl/sharedStrings.xml><?xml version="1.0" encoding="utf-8"?>
<sst xmlns="http://schemas.openxmlformats.org/spreadsheetml/2006/main" count="627" uniqueCount="147">
  <si>
    <t>CMB_36</t>
  </si>
  <si>
    <t>CMB_40</t>
  </si>
  <si>
    <t>CMB_46</t>
  </si>
  <si>
    <t>CMB_52</t>
  </si>
  <si>
    <t>CSD_36</t>
  </si>
  <si>
    <t>CSD_40</t>
  </si>
  <si>
    <t>CSD_46</t>
  </si>
  <si>
    <t>CSD_52</t>
  </si>
  <si>
    <t>CSD_60</t>
  </si>
  <si>
    <t>CSD_70</t>
  </si>
  <si>
    <t>CMB_14</t>
  </si>
  <si>
    <t>CMB_2</t>
  </si>
  <si>
    <t>CMB_20</t>
  </si>
  <si>
    <t>CMB_26</t>
  </si>
  <si>
    <t>CMB_30</t>
  </si>
  <si>
    <t>CMB_8</t>
  </si>
  <si>
    <t>CSD_12</t>
  </si>
  <si>
    <t>CSD_20</t>
  </si>
  <si>
    <t>CSD_26</t>
  </si>
  <si>
    <t>CSD_30</t>
  </si>
  <si>
    <t>CSD_4</t>
  </si>
  <si>
    <t>CMB_70</t>
  </si>
  <si>
    <t>CMB_76</t>
  </si>
  <si>
    <t>CMB_80</t>
  </si>
  <si>
    <t>CMB_90</t>
  </si>
  <si>
    <t>CMB_96</t>
  </si>
  <si>
    <t>CSD_76</t>
  </si>
  <si>
    <t>CSD_80</t>
  </si>
  <si>
    <t>CSD_86</t>
  </si>
  <si>
    <t>CSD_90</t>
  </si>
  <si>
    <t>CSD_96</t>
  </si>
  <si>
    <t>CCO_C3_13</t>
  </si>
  <si>
    <t>CCO_C3_19</t>
  </si>
  <si>
    <t>CCO_C3_25</t>
  </si>
  <si>
    <t>CCO_C3_29</t>
  </si>
  <si>
    <t>CCO_C3_3</t>
  </si>
  <si>
    <t>CCO_C3_35</t>
  </si>
  <si>
    <t>CCO_C3_39</t>
  </si>
  <si>
    <t>CCO_C3_43</t>
  </si>
  <si>
    <t>CCO_C3_49</t>
  </si>
  <si>
    <t>CCO_C3_9</t>
  </si>
  <si>
    <t>CCO_C3_45</t>
  </si>
  <si>
    <t>CCO_C3_5</t>
  </si>
  <si>
    <t>CLR_C3_10</t>
  </si>
  <si>
    <t>CLR_C3_14</t>
  </si>
  <si>
    <t>CLR_C3_2</t>
  </si>
  <si>
    <t>CLR_C3_20</t>
  </si>
  <si>
    <t>CLR_C3_26</t>
  </si>
  <si>
    <t>CLR_C3_30</t>
  </si>
  <si>
    <t>CLR_C3_36</t>
  </si>
  <si>
    <t>CLR_C3_40</t>
  </si>
  <si>
    <t>CLR_C3_48</t>
  </si>
  <si>
    <t>CLR_C3_6</t>
  </si>
  <si>
    <t>CLR_C3_4</t>
  </si>
  <si>
    <t>CLR_C3_45</t>
  </si>
  <si>
    <t>DEE_5.6</t>
  </si>
  <si>
    <t>DEE_70.71</t>
  </si>
  <si>
    <t>DEE_10</t>
  </si>
  <si>
    <t>DEE_15</t>
  </si>
  <si>
    <t>DEE_20</t>
  </si>
  <si>
    <t>DEE_25</t>
  </si>
  <si>
    <t>DEE_30</t>
  </si>
  <si>
    <t>DEE_35</t>
  </si>
  <si>
    <t>DEE_40</t>
  </si>
  <si>
    <t>DEE_50</t>
  </si>
  <si>
    <t>DEE_80</t>
  </si>
  <si>
    <t>DEE_TOP_1</t>
  </si>
  <si>
    <t>HIO_30</t>
  </si>
  <si>
    <t>HIO_36</t>
  </si>
  <si>
    <t>HIO_40</t>
  </si>
  <si>
    <t>HIO_46</t>
  </si>
  <si>
    <t>HIO_60</t>
  </si>
  <si>
    <t>HIT_36</t>
  </si>
  <si>
    <t>HIT_40</t>
  </si>
  <si>
    <t>HIT_60</t>
  </si>
  <si>
    <t>HIT_66</t>
  </si>
  <si>
    <t>HIO_14</t>
  </si>
  <si>
    <t>HIO_2</t>
  </si>
  <si>
    <t>HIO_20</t>
  </si>
  <si>
    <t>HIO_26</t>
  </si>
  <si>
    <t>HIO_8</t>
  </si>
  <si>
    <t>HIT_14</t>
  </si>
  <si>
    <t>HIT_2</t>
  </si>
  <si>
    <t>HIT_20</t>
  </si>
  <si>
    <t>HIT_26</t>
  </si>
  <si>
    <t>HIT_30</t>
  </si>
  <si>
    <t>HIT_8</t>
  </si>
  <si>
    <t>HIO_70</t>
  </si>
  <si>
    <t>HIO_76</t>
  </si>
  <si>
    <t>HIO_80</t>
  </si>
  <si>
    <t>HIO_90</t>
  </si>
  <si>
    <t>HIO_96</t>
  </si>
  <si>
    <t>HIT_70</t>
  </si>
  <si>
    <t>HIT_76</t>
  </si>
  <si>
    <t>HIT_80</t>
  </si>
  <si>
    <t>HIT_90</t>
  </si>
  <si>
    <t>HIT_96</t>
  </si>
  <si>
    <t>STO_C3_19</t>
  </si>
  <si>
    <t>STO_C3_29</t>
  </si>
  <si>
    <t>STO_C3_3</t>
  </si>
  <si>
    <t>STO_C3_39</t>
  </si>
  <si>
    <t>STO_C3_49</t>
  </si>
  <si>
    <t>STO_C3_59</t>
  </si>
  <si>
    <t>STO_C3_79</t>
  </si>
  <si>
    <t>STO_C3_89</t>
  </si>
  <si>
    <t>STO_C3_9</t>
  </si>
  <si>
    <t>STO_C3_99</t>
  </si>
  <si>
    <t>STO_C3_23</t>
  </si>
  <si>
    <t>STO_C3_5</t>
  </si>
  <si>
    <t>STO_C3_50</t>
  </si>
  <si>
    <t>STO_C3_95</t>
  </si>
  <si>
    <t>STO_C3_69</t>
  </si>
  <si>
    <t>sample</t>
  </si>
  <si>
    <t>Site</t>
  </si>
  <si>
    <t>Depth</t>
  </si>
  <si>
    <t>Year</t>
  </si>
  <si>
    <t>Region</t>
  </si>
  <si>
    <t>Sea</t>
  </si>
  <si>
    <t>Era</t>
  </si>
  <si>
    <t>CMB</t>
  </si>
  <si>
    <t>CSD</t>
  </si>
  <si>
    <t>CCO</t>
  </si>
  <si>
    <t>CLR</t>
  </si>
  <si>
    <t>DEE</t>
  </si>
  <si>
    <t>HIO</t>
  </si>
  <si>
    <t>HIT</t>
  </si>
  <si>
    <t>STO</t>
  </si>
  <si>
    <t>South Spain</t>
  </si>
  <si>
    <t>East Atlantic</t>
  </si>
  <si>
    <t>East Spain</t>
  </si>
  <si>
    <t>West Mediterranean</t>
  </si>
  <si>
    <t>North Spain</t>
  </si>
  <si>
    <t>South English Channel</t>
  </si>
  <si>
    <t>Post-1850 (post-industrial)</t>
  </si>
  <si>
    <t>Pre-1850 (pre-industrial)</t>
  </si>
  <si>
    <t>DEE_C3_70</t>
  </si>
  <si>
    <t>DEE_C3_10</t>
  </si>
  <si>
    <t>DEE_C3_15</t>
  </si>
  <si>
    <t>DEE_C3_20</t>
  </si>
  <si>
    <t>DEE_C3_25</t>
  </si>
  <si>
    <t>DEE_C3_30</t>
  </si>
  <si>
    <t>DEE_C3_35</t>
  </si>
  <si>
    <t>DEE_C3_40</t>
  </si>
  <si>
    <t>DEE_C3_50</t>
  </si>
  <si>
    <t>DEE_C3_80</t>
  </si>
  <si>
    <t>HIO_52</t>
  </si>
  <si>
    <t>HIT_52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</si>
</sst>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abSelected="1" topLeftCell="A83" workbookViewId="0">
      <selection activeCell="A87" sqref="A87"/>
    </sheetView>
  </sheetViews>
  <sheetFormatPr baseColWidth="10" defaultColWidth="9.1796875" defaultRowHeight="14.5" x14ac:dyDescent="0.35"/>
  <cols>
    <col min="1" max="1" width="12.54296875" customWidth="1"/>
    <col min="4" max="4" width="12" bestFit="1" customWidth="1"/>
  </cols>
  <sheetData>
    <row r="1" spans="1:7" s="1" customFormat="1" x14ac:dyDescent="0.35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</row>
    <row r="2" spans="1:7" x14ac:dyDescent="0.35">
      <c r="A2" t="s">
        <v>0</v>
      </c>
      <c r="B2" t="s">
        <v>119</v>
      </c>
      <c r="C2">
        <v>36</v>
      </c>
      <c r="D2">
        <f>2024.75-(C2/0.146937649028928)</f>
        <v>1779.7481217345285</v>
      </c>
      <c r="E2" t="s">
        <v>127</v>
      </c>
      <c r="F2" t="s">
        <v>128</v>
      </c>
      <c r="G2" t="s">
        <v>134</v>
      </c>
    </row>
    <row r="3" spans="1:7" x14ac:dyDescent="0.35">
      <c r="A3" t="s">
        <v>1</v>
      </c>
      <c r="B3" t="s">
        <v>119</v>
      </c>
      <c r="C3">
        <v>40</v>
      </c>
      <c r="D3">
        <f t="shared" ref="D3:D16" si="0">2024.75-(C3/0.146937649028928)</f>
        <v>1752.5256908161427</v>
      </c>
      <c r="E3" t="s">
        <v>127</v>
      </c>
      <c r="F3" t="s">
        <v>128</v>
      </c>
      <c r="G3" t="s">
        <v>134</v>
      </c>
    </row>
    <row r="4" spans="1:7" x14ac:dyDescent="0.35">
      <c r="A4" t="s">
        <v>2</v>
      </c>
      <c r="B4" t="s">
        <v>119</v>
      </c>
      <c r="C4">
        <v>46</v>
      </c>
      <c r="D4">
        <f t="shared" si="0"/>
        <v>1711.6920444385642</v>
      </c>
      <c r="E4" t="s">
        <v>127</v>
      </c>
      <c r="F4" t="s">
        <v>128</v>
      </c>
      <c r="G4" t="s">
        <v>134</v>
      </c>
    </row>
    <row r="5" spans="1:7" x14ac:dyDescent="0.35">
      <c r="A5" t="s">
        <v>3</v>
      </c>
      <c r="B5" t="s">
        <v>119</v>
      </c>
      <c r="C5">
        <v>52</v>
      </c>
      <c r="D5">
        <f t="shared" si="0"/>
        <v>1670.8583980609856</v>
      </c>
      <c r="E5" t="s">
        <v>127</v>
      </c>
      <c r="F5" t="s">
        <v>128</v>
      </c>
      <c r="G5" t="s">
        <v>134</v>
      </c>
    </row>
    <row r="6" spans="1:7" x14ac:dyDescent="0.35">
      <c r="A6" t="s">
        <v>10</v>
      </c>
      <c r="B6" t="s">
        <v>119</v>
      </c>
      <c r="C6">
        <v>14</v>
      </c>
      <c r="D6">
        <f t="shared" si="0"/>
        <v>1929.47149178565</v>
      </c>
      <c r="E6" t="s">
        <v>127</v>
      </c>
      <c r="F6" t="s">
        <v>128</v>
      </c>
      <c r="G6" t="s">
        <v>133</v>
      </c>
    </row>
    <row r="7" spans="1:7" x14ac:dyDescent="0.35">
      <c r="A7" t="s">
        <v>11</v>
      </c>
      <c r="B7" t="s">
        <v>119</v>
      </c>
      <c r="C7">
        <v>2</v>
      </c>
      <c r="D7">
        <f t="shared" si="0"/>
        <v>2011.1387845408071</v>
      </c>
      <c r="E7" t="s">
        <v>127</v>
      </c>
      <c r="F7" t="s">
        <v>128</v>
      </c>
      <c r="G7" t="s">
        <v>133</v>
      </c>
    </row>
    <row r="8" spans="1:7" x14ac:dyDescent="0.35">
      <c r="A8" t="s">
        <v>12</v>
      </c>
      <c r="B8" t="s">
        <v>119</v>
      </c>
      <c r="C8">
        <v>20</v>
      </c>
      <c r="D8">
        <f t="shared" si="0"/>
        <v>1888.6378454080714</v>
      </c>
      <c r="E8" t="s">
        <v>127</v>
      </c>
      <c r="F8" t="s">
        <v>128</v>
      </c>
      <c r="G8" t="s">
        <v>133</v>
      </c>
    </row>
    <row r="9" spans="1:7" x14ac:dyDescent="0.35">
      <c r="A9" t="s">
        <v>13</v>
      </c>
      <c r="B9" t="s">
        <v>119</v>
      </c>
      <c r="C9">
        <v>26</v>
      </c>
      <c r="D9">
        <f t="shared" si="0"/>
        <v>1847.8041990304928</v>
      </c>
      <c r="E9" t="s">
        <v>127</v>
      </c>
      <c r="F9" t="s">
        <v>128</v>
      </c>
      <c r="G9" t="s">
        <v>134</v>
      </c>
    </row>
    <row r="10" spans="1:7" x14ac:dyDescent="0.35">
      <c r="A10" t="s">
        <v>14</v>
      </c>
      <c r="B10" t="s">
        <v>119</v>
      </c>
      <c r="C10">
        <v>30</v>
      </c>
      <c r="D10">
        <f t="shared" si="0"/>
        <v>1820.5817681121071</v>
      </c>
      <c r="E10" t="s">
        <v>127</v>
      </c>
      <c r="F10" t="s">
        <v>128</v>
      </c>
      <c r="G10" t="s">
        <v>134</v>
      </c>
    </row>
    <row r="11" spans="1:7" x14ac:dyDescent="0.35">
      <c r="A11" t="s">
        <v>15</v>
      </c>
      <c r="B11" t="s">
        <v>119</v>
      </c>
      <c r="C11">
        <v>8</v>
      </c>
      <c r="D11">
        <f t="shared" si="0"/>
        <v>1970.3051381632285</v>
      </c>
      <c r="E11" t="s">
        <v>127</v>
      </c>
      <c r="F11" t="s">
        <v>128</v>
      </c>
      <c r="G11" t="s">
        <v>133</v>
      </c>
    </row>
    <row r="12" spans="1:7" x14ac:dyDescent="0.35">
      <c r="A12" t="s">
        <v>21</v>
      </c>
      <c r="B12" t="s">
        <v>119</v>
      </c>
      <c r="C12">
        <v>60</v>
      </c>
      <c r="D12">
        <f t="shared" si="0"/>
        <v>1616.4135362242141</v>
      </c>
      <c r="E12" t="s">
        <v>127</v>
      </c>
      <c r="F12" t="s">
        <v>128</v>
      </c>
      <c r="G12" t="s">
        <v>134</v>
      </c>
    </row>
    <row r="13" spans="1:7" x14ac:dyDescent="0.35">
      <c r="A13" t="s">
        <v>22</v>
      </c>
      <c r="B13" t="s">
        <v>119</v>
      </c>
      <c r="C13">
        <v>66</v>
      </c>
      <c r="D13">
        <f t="shared" si="0"/>
        <v>1575.5798898466355</v>
      </c>
      <c r="E13" t="s">
        <v>127</v>
      </c>
      <c r="F13" t="s">
        <v>128</v>
      </c>
      <c r="G13" t="s">
        <v>134</v>
      </c>
    </row>
    <row r="14" spans="1:7" x14ac:dyDescent="0.35">
      <c r="A14" t="s">
        <v>23</v>
      </c>
      <c r="B14" t="s">
        <v>119</v>
      </c>
      <c r="C14">
        <v>70</v>
      </c>
      <c r="D14">
        <f t="shared" si="0"/>
        <v>1548.3574589282498</v>
      </c>
      <c r="E14" t="s">
        <v>127</v>
      </c>
      <c r="F14" t="s">
        <v>128</v>
      </c>
      <c r="G14" t="s">
        <v>134</v>
      </c>
    </row>
    <row r="15" spans="1:7" x14ac:dyDescent="0.35">
      <c r="A15" t="s">
        <v>24</v>
      </c>
      <c r="B15" t="s">
        <v>119</v>
      </c>
      <c r="C15">
        <v>80</v>
      </c>
      <c r="D15">
        <f t="shared" si="0"/>
        <v>1480.3013816322855</v>
      </c>
      <c r="E15" t="s">
        <v>127</v>
      </c>
      <c r="F15" t="s">
        <v>128</v>
      </c>
      <c r="G15" t="s">
        <v>134</v>
      </c>
    </row>
    <row r="16" spans="1:7" x14ac:dyDescent="0.35">
      <c r="A16" t="s">
        <v>25</v>
      </c>
      <c r="B16" t="s">
        <v>119</v>
      </c>
      <c r="C16">
        <v>86</v>
      </c>
      <c r="D16">
        <f t="shared" si="0"/>
        <v>1439.4677352547069</v>
      </c>
      <c r="E16" t="s">
        <v>127</v>
      </c>
      <c r="F16" t="s">
        <v>128</v>
      </c>
      <c r="G16" t="s">
        <v>134</v>
      </c>
    </row>
    <row r="17" spans="1:7" x14ac:dyDescent="0.35">
      <c r="A17" t="s">
        <v>4</v>
      </c>
      <c r="B17" t="s">
        <v>120</v>
      </c>
      <c r="C17">
        <v>36</v>
      </c>
      <c r="D17">
        <f>2024.75-(C17/0.1)</f>
        <v>1664.75</v>
      </c>
      <c r="E17" t="s">
        <v>127</v>
      </c>
      <c r="F17" t="s">
        <v>128</v>
      </c>
      <c r="G17" t="s">
        <v>134</v>
      </c>
    </row>
    <row r="18" spans="1:7" x14ac:dyDescent="0.35">
      <c r="A18" t="s">
        <v>5</v>
      </c>
      <c r="B18" t="s">
        <v>120</v>
      </c>
      <c r="C18">
        <v>40</v>
      </c>
      <c r="D18">
        <f t="shared" ref="D18:D32" si="1">2024.75-(C18/0.1)</f>
        <v>1624.75</v>
      </c>
      <c r="E18" t="s">
        <v>127</v>
      </c>
      <c r="F18" t="s">
        <v>128</v>
      </c>
      <c r="G18" t="s">
        <v>134</v>
      </c>
    </row>
    <row r="19" spans="1:7" x14ac:dyDescent="0.35">
      <c r="A19" t="s">
        <v>6</v>
      </c>
      <c r="B19" t="s">
        <v>120</v>
      </c>
      <c r="C19">
        <v>46</v>
      </c>
      <c r="D19">
        <f t="shared" si="1"/>
        <v>1564.75</v>
      </c>
      <c r="E19" t="s">
        <v>127</v>
      </c>
      <c r="F19" t="s">
        <v>128</v>
      </c>
      <c r="G19" t="s">
        <v>134</v>
      </c>
    </row>
    <row r="20" spans="1:7" x14ac:dyDescent="0.35">
      <c r="A20" t="s">
        <v>7</v>
      </c>
      <c r="B20" t="s">
        <v>120</v>
      </c>
      <c r="C20">
        <v>52</v>
      </c>
      <c r="D20">
        <f t="shared" si="1"/>
        <v>1504.75</v>
      </c>
      <c r="E20" t="s">
        <v>127</v>
      </c>
      <c r="F20" t="s">
        <v>128</v>
      </c>
      <c r="G20" t="s">
        <v>134</v>
      </c>
    </row>
    <row r="21" spans="1:7" x14ac:dyDescent="0.35">
      <c r="A21" t="s">
        <v>8</v>
      </c>
      <c r="B21" t="s">
        <v>120</v>
      </c>
      <c r="C21">
        <v>50</v>
      </c>
      <c r="D21">
        <f t="shared" si="1"/>
        <v>1524.75</v>
      </c>
      <c r="E21" t="s">
        <v>127</v>
      </c>
      <c r="F21" t="s">
        <v>128</v>
      </c>
      <c r="G21" t="s">
        <v>134</v>
      </c>
    </row>
    <row r="22" spans="1:7" x14ac:dyDescent="0.35">
      <c r="A22" t="s">
        <v>9</v>
      </c>
      <c r="B22" t="s">
        <v>120</v>
      </c>
      <c r="C22">
        <v>60</v>
      </c>
      <c r="D22">
        <f t="shared" si="1"/>
        <v>1424.75</v>
      </c>
      <c r="E22" t="s">
        <v>127</v>
      </c>
      <c r="F22" t="s">
        <v>128</v>
      </c>
      <c r="G22" t="s">
        <v>134</v>
      </c>
    </row>
    <row r="23" spans="1:7" x14ac:dyDescent="0.35">
      <c r="A23" t="s">
        <v>16</v>
      </c>
      <c r="B23" t="s">
        <v>120</v>
      </c>
      <c r="C23">
        <v>12</v>
      </c>
      <c r="D23">
        <f t="shared" si="1"/>
        <v>1904.75</v>
      </c>
      <c r="E23" t="s">
        <v>127</v>
      </c>
      <c r="F23" t="s">
        <v>128</v>
      </c>
      <c r="G23" t="s">
        <v>133</v>
      </c>
    </row>
    <row r="24" spans="1:7" x14ac:dyDescent="0.35">
      <c r="A24" t="s">
        <v>17</v>
      </c>
      <c r="B24" t="s">
        <v>120</v>
      </c>
      <c r="C24">
        <v>20</v>
      </c>
      <c r="D24">
        <f t="shared" si="1"/>
        <v>1824.75</v>
      </c>
      <c r="E24" t="s">
        <v>127</v>
      </c>
      <c r="F24" t="s">
        <v>128</v>
      </c>
      <c r="G24" t="s">
        <v>134</v>
      </c>
    </row>
    <row r="25" spans="1:7" x14ac:dyDescent="0.35">
      <c r="A25" t="s">
        <v>18</v>
      </c>
      <c r="B25" t="s">
        <v>120</v>
      </c>
      <c r="C25">
        <v>26</v>
      </c>
      <c r="D25">
        <f t="shared" si="1"/>
        <v>1764.75</v>
      </c>
      <c r="E25" t="s">
        <v>127</v>
      </c>
      <c r="F25" t="s">
        <v>128</v>
      </c>
      <c r="G25" t="s">
        <v>134</v>
      </c>
    </row>
    <row r="26" spans="1:7" x14ac:dyDescent="0.35">
      <c r="A26" t="s">
        <v>19</v>
      </c>
      <c r="B26" t="s">
        <v>120</v>
      </c>
      <c r="C26">
        <v>30</v>
      </c>
      <c r="D26">
        <f t="shared" si="1"/>
        <v>1724.75</v>
      </c>
      <c r="E26" t="s">
        <v>127</v>
      </c>
      <c r="F26" t="s">
        <v>128</v>
      </c>
      <c r="G26" t="s">
        <v>134</v>
      </c>
    </row>
    <row r="27" spans="1:7" x14ac:dyDescent="0.35">
      <c r="A27" t="s">
        <v>20</v>
      </c>
      <c r="B27" t="s">
        <v>120</v>
      </c>
      <c r="C27">
        <v>4</v>
      </c>
      <c r="D27">
        <f t="shared" si="1"/>
        <v>1984.75</v>
      </c>
      <c r="E27" t="s">
        <v>127</v>
      </c>
      <c r="F27" t="s">
        <v>128</v>
      </c>
      <c r="G27" t="s">
        <v>133</v>
      </c>
    </row>
    <row r="28" spans="1:7" x14ac:dyDescent="0.35">
      <c r="A28" t="s">
        <v>26</v>
      </c>
      <c r="B28" t="s">
        <v>120</v>
      </c>
      <c r="C28">
        <v>66</v>
      </c>
      <c r="D28">
        <f t="shared" si="1"/>
        <v>1364.75</v>
      </c>
      <c r="E28" t="s">
        <v>127</v>
      </c>
      <c r="F28" t="s">
        <v>128</v>
      </c>
      <c r="G28" t="s">
        <v>134</v>
      </c>
    </row>
    <row r="29" spans="1:7" x14ac:dyDescent="0.35">
      <c r="A29" t="s">
        <v>27</v>
      </c>
      <c r="B29" t="s">
        <v>120</v>
      </c>
      <c r="C29">
        <v>70</v>
      </c>
      <c r="D29">
        <f t="shared" si="1"/>
        <v>1324.75</v>
      </c>
      <c r="E29" t="s">
        <v>127</v>
      </c>
      <c r="F29" t="s">
        <v>128</v>
      </c>
      <c r="G29" t="s">
        <v>134</v>
      </c>
    </row>
    <row r="30" spans="1:7" x14ac:dyDescent="0.35">
      <c r="A30" t="s">
        <v>28</v>
      </c>
      <c r="B30" t="s">
        <v>120</v>
      </c>
      <c r="C30">
        <v>76</v>
      </c>
      <c r="D30">
        <f t="shared" si="1"/>
        <v>1264.75</v>
      </c>
      <c r="E30" t="s">
        <v>127</v>
      </c>
      <c r="F30" t="s">
        <v>128</v>
      </c>
      <c r="G30" t="s">
        <v>134</v>
      </c>
    </row>
    <row r="31" spans="1:7" x14ac:dyDescent="0.35">
      <c r="A31" t="s">
        <v>29</v>
      </c>
      <c r="B31" t="s">
        <v>120</v>
      </c>
      <c r="C31">
        <v>80</v>
      </c>
      <c r="D31">
        <f t="shared" si="1"/>
        <v>1224.75</v>
      </c>
      <c r="E31" t="s">
        <v>127</v>
      </c>
      <c r="F31" t="s">
        <v>128</v>
      </c>
      <c r="G31" t="s">
        <v>134</v>
      </c>
    </row>
    <row r="32" spans="1:7" x14ac:dyDescent="0.35">
      <c r="A32" t="s">
        <v>30</v>
      </c>
      <c r="B32" t="s">
        <v>120</v>
      </c>
      <c r="C32">
        <v>86</v>
      </c>
      <c r="D32">
        <f t="shared" si="1"/>
        <v>1164.75</v>
      </c>
      <c r="E32" t="s">
        <v>127</v>
      </c>
      <c r="F32" t="s">
        <v>128</v>
      </c>
      <c r="G32" t="s">
        <v>134</v>
      </c>
    </row>
    <row r="33" spans="1:7" x14ac:dyDescent="0.35">
      <c r="A33" t="s">
        <v>31</v>
      </c>
      <c r="B33" t="s">
        <v>121</v>
      </c>
      <c r="C33">
        <v>13</v>
      </c>
      <c r="D33">
        <f>2023.75-(C33/0.532646)</f>
        <v>1999.343546182643</v>
      </c>
      <c r="E33" t="s">
        <v>131</v>
      </c>
      <c r="F33" t="s">
        <v>132</v>
      </c>
      <c r="G33" t="s">
        <v>133</v>
      </c>
    </row>
    <row r="34" spans="1:7" x14ac:dyDescent="0.35">
      <c r="A34" t="s">
        <v>32</v>
      </c>
      <c r="B34" t="s">
        <v>121</v>
      </c>
      <c r="C34">
        <v>19</v>
      </c>
      <c r="D34">
        <f t="shared" ref="D34:D44" si="2">2023.75-(C34/0.532646)</f>
        <v>1988.0790290361704</v>
      </c>
      <c r="E34" t="s">
        <v>131</v>
      </c>
      <c r="F34" t="s">
        <v>132</v>
      </c>
      <c r="G34" t="s">
        <v>133</v>
      </c>
    </row>
    <row r="35" spans="1:7" x14ac:dyDescent="0.35">
      <c r="A35" t="s">
        <v>33</v>
      </c>
      <c r="B35" t="s">
        <v>121</v>
      </c>
      <c r="C35">
        <v>25</v>
      </c>
      <c r="D35">
        <f t="shared" si="2"/>
        <v>1976.8145118896978</v>
      </c>
      <c r="E35" t="s">
        <v>131</v>
      </c>
      <c r="F35" t="s">
        <v>132</v>
      </c>
      <c r="G35" t="s">
        <v>133</v>
      </c>
    </row>
    <row r="36" spans="1:7" x14ac:dyDescent="0.35">
      <c r="A36" t="s">
        <v>34</v>
      </c>
      <c r="B36" t="s">
        <v>121</v>
      </c>
      <c r="C36">
        <v>29</v>
      </c>
      <c r="D36">
        <f t="shared" si="2"/>
        <v>1969.3048337920495</v>
      </c>
      <c r="E36" t="s">
        <v>131</v>
      </c>
      <c r="F36" t="s">
        <v>132</v>
      </c>
      <c r="G36" t="s">
        <v>133</v>
      </c>
    </row>
    <row r="37" spans="1:7" x14ac:dyDescent="0.35">
      <c r="A37" t="s">
        <v>35</v>
      </c>
      <c r="B37" t="s">
        <v>121</v>
      </c>
      <c r="C37">
        <v>3</v>
      </c>
      <c r="D37">
        <f t="shared" si="2"/>
        <v>2018.1177414267638</v>
      </c>
      <c r="E37" t="s">
        <v>131</v>
      </c>
      <c r="F37" t="s">
        <v>132</v>
      </c>
      <c r="G37" t="s">
        <v>133</v>
      </c>
    </row>
    <row r="38" spans="1:7" x14ac:dyDescent="0.35">
      <c r="A38" t="s">
        <v>36</v>
      </c>
      <c r="B38" t="s">
        <v>121</v>
      </c>
      <c r="C38">
        <v>35</v>
      </c>
      <c r="D38">
        <f t="shared" si="2"/>
        <v>1958.0403166455769</v>
      </c>
      <c r="E38" t="s">
        <v>131</v>
      </c>
      <c r="F38" t="s">
        <v>132</v>
      </c>
      <c r="G38" t="s">
        <v>133</v>
      </c>
    </row>
    <row r="39" spans="1:7" x14ac:dyDescent="0.35">
      <c r="A39" t="s">
        <v>37</v>
      </c>
      <c r="B39" t="s">
        <v>121</v>
      </c>
      <c r="C39">
        <v>39</v>
      </c>
      <c r="D39">
        <f t="shared" si="2"/>
        <v>1950.5306385479287</v>
      </c>
      <c r="E39" t="s">
        <v>131</v>
      </c>
      <c r="F39" t="s">
        <v>132</v>
      </c>
      <c r="G39" t="s">
        <v>133</v>
      </c>
    </row>
    <row r="40" spans="1:7" x14ac:dyDescent="0.35">
      <c r="A40" t="s">
        <v>38</v>
      </c>
      <c r="B40" t="s">
        <v>121</v>
      </c>
      <c r="C40">
        <v>43</v>
      </c>
      <c r="D40">
        <f t="shared" si="2"/>
        <v>1943.0209604502802</v>
      </c>
      <c r="E40" t="s">
        <v>131</v>
      </c>
      <c r="F40" t="s">
        <v>132</v>
      </c>
      <c r="G40" t="s">
        <v>133</v>
      </c>
    </row>
    <row r="41" spans="1:7" x14ac:dyDescent="0.35">
      <c r="A41" t="s">
        <v>39</v>
      </c>
      <c r="B41" t="s">
        <v>121</v>
      </c>
      <c r="C41">
        <v>49</v>
      </c>
      <c r="D41">
        <f t="shared" si="2"/>
        <v>1931.7564433038078</v>
      </c>
      <c r="E41" t="s">
        <v>131</v>
      </c>
      <c r="F41" t="s">
        <v>132</v>
      </c>
      <c r="G41" t="s">
        <v>133</v>
      </c>
    </row>
    <row r="42" spans="1:7" x14ac:dyDescent="0.35">
      <c r="A42" t="s">
        <v>40</v>
      </c>
      <c r="B42" t="s">
        <v>121</v>
      </c>
      <c r="C42">
        <v>9</v>
      </c>
      <c r="D42">
        <f t="shared" si="2"/>
        <v>2006.8532242802912</v>
      </c>
      <c r="E42" t="s">
        <v>131</v>
      </c>
      <c r="F42" t="s">
        <v>132</v>
      </c>
      <c r="G42" t="s">
        <v>133</v>
      </c>
    </row>
    <row r="43" spans="1:7" x14ac:dyDescent="0.35">
      <c r="A43" t="s">
        <v>41</v>
      </c>
      <c r="B43" t="s">
        <v>121</v>
      </c>
      <c r="C43">
        <v>45</v>
      </c>
      <c r="D43">
        <f t="shared" si="2"/>
        <v>1939.2661214014561</v>
      </c>
      <c r="E43" t="s">
        <v>131</v>
      </c>
      <c r="F43" t="s">
        <v>132</v>
      </c>
      <c r="G43" t="s">
        <v>133</v>
      </c>
    </row>
    <row r="44" spans="1:7" x14ac:dyDescent="0.35">
      <c r="A44" t="s">
        <v>42</v>
      </c>
      <c r="B44" t="s">
        <v>121</v>
      </c>
      <c r="C44">
        <v>5</v>
      </c>
      <c r="D44">
        <f t="shared" si="2"/>
        <v>2014.3629023779395</v>
      </c>
      <c r="E44" t="s">
        <v>131</v>
      </c>
      <c r="F44" t="s">
        <v>132</v>
      </c>
      <c r="G44" t="s">
        <v>133</v>
      </c>
    </row>
    <row r="45" spans="1:7" x14ac:dyDescent="0.35">
      <c r="A45" t="s">
        <v>43</v>
      </c>
      <c r="B45" t="s">
        <v>122</v>
      </c>
      <c r="C45">
        <v>10</v>
      </c>
      <c r="D45">
        <f>2023.75-(C45/0.62124248496994)</f>
        <v>2007.6532258064517</v>
      </c>
      <c r="E45" t="s">
        <v>131</v>
      </c>
      <c r="F45" t="s">
        <v>132</v>
      </c>
      <c r="G45" t="s">
        <v>133</v>
      </c>
    </row>
    <row r="46" spans="1:7" x14ac:dyDescent="0.35">
      <c r="A46" t="s">
        <v>44</v>
      </c>
      <c r="B46" t="s">
        <v>122</v>
      </c>
      <c r="C46">
        <v>14</v>
      </c>
      <c r="D46">
        <f t="shared" ref="D46:D56" si="3">2023.75-(C46/0.62124248496994)</f>
        <v>2001.2145161290323</v>
      </c>
      <c r="E46" t="s">
        <v>131</v>
      </c>
      <c r="F46" t="s">
        <v>132</v>
      </c>
      <c r="G46" t="s">
        <v>133</v>
      </c>
    </row>
    <row r="47" spans="1:7" x14ac:dyDescent="0.35">
      <c r="A47" t="s">
        <v>45</v>
      </c>
      <c r="B47" t="s">
        <v>122</v>
      </c>
      <c r="C47">
        <v>2</v>
      </c>
      <c r="D47">
        <f t="shared" si="3"/>
        <v>2020.5306451612903</v>
      </c>
      <c r="E47" t="s">
        <v>131</v>
      </c>
      <c r="F47" t="s">
        <v>132</v>
      </c>
      <c r="G47" t="s">
        <v>133</v>
      </c>
    </row>
    <row r="48" spans="1:7" x14ac:dyDescent="0.35">
      <c r="A48" t="s">
        <v>46</v>
      </c>
      <c r="B48" t="s">
        <v>122</v>
      </c>
      <c r="C48">
        <v>20</v>
      </c>
      <c r="D48">
        <f t="shared" si="3"/>
        <v>1991.5564516129032</v>
      </c>
      <c r="E48" t="s">
        <v>131</v>
      </c>
      <c r="F48" t="s">
        <v>132</v>
      </c>
      <c r="G48" t="s">
        <v>133</v>
      </c>
    </row>
    <row r="49" spans="1:7" x14ac:dyDescent="0.35">
      <c r="A49" t="s">
        <v>47</v>
      </c>
      <c r="B49" t="s">
        <v>122</v>
      </c>
      <c r="C49">
        <v>26</v>
      </c>
      <c r="D49">
        <f t="shared" si="3"/>
        <v>1981.8983870967743</v>
      </c>
      <c r="E49" t="s">
        <v>131</v>
      </c>
      <c r="F49" t="s">
        <v>132</v>
      </c>
      <c r="G49" t="s">
        <v>133</v>
      </c>
    </row>
    <row r="50" spans="1:7" x14ac:dyDescent="0.35">
      <c r="A50" t="s">
        <v>48</v>
      </c>
      <c r="B50" t="s">
        <v>122</v>
      </c>
      <c r="C50">
        <v>30</v>
      </c>
      <c r="D50">
        <f t="shared" si="3"/>
        <v>1975.4596774193549</v>
      </c>
      <c r="E50" t="s">
        <v>131</v>
      </c>
      <c r="F50" t="s">
        <v>132</v>
      </c>
      <c r="G50" t="s">
        <v>133</v>
      </c>
    </row>
    <row r="51" spans="1:7" x14ac:dyDescent="0.35">
      <c r="A51" t="s">
        <v>49</v>
      </c>
      <c r="B51" t="s">
        <v>122</v>
      </c>
      <c r="C51">
        <v>36</v>
      </c>
      <c r="D51">
        <f t="shared" si="3"/>
        <v>1965.8016129032258</v>
      </c>
      <c r="E51" t="s">
        <v>131</v>
      </c>
      <c r="F51" t="s">
        <v>132</v>
      </c>
      <c r="G51" t="s">
        <v>133</v>
      </c>
    </row>
    <row r="52" spans="1:7" x14ac:dyDescent="0.35">
      <c r="A52" t="s">
        <v>50</v>
      </c>
      <c r="B52" t="s">
        <v>122</v>
      </c>
      <c r="C52">
        <v>40</v>
      </c>
      <c r="D52">
        <f t="shared" si="3"/>
        <v>1959.3629032258063</v>
      </c>
      <c r="E52" t="s">
        <v>131</v>
      </c>
      <c r="F52" t="s">
        <v>132</v>
      </c>
      <c r="G52" t="s">
        <v>133</v>
      </c>
    </row>
    <row r="53" spans="1:7" x14ac:dyDescent="0.35">
      <c r="A53" t="s">
        <v>51</v>
      </c>
      <c r="B53" t="s">
        <v>122</v>
      </c>
      <c r="C53">
        <v>48</v>
      </c>
      <c r="D53">
        <f t="shared" si="3"/>
        <v>1946.4854838709678</v>
      </c>
      <c r="E53" t="s">
        <v>131</v>
      </c>
      <c r="F53" t="s">
        <v>132</v>
      </c>
      <c r="G53" t="s">
        <v>133</v>
      </c>
    </row>
    <row r="54" spans="1:7" x14ac:dyDescent="0.35">
      <c r="A54" t="s">
        <v>52</v>
      </c>
      <c r="B54" t="s">
        <v>122</v>
      </c>
      <c r="C54">
        <v>6</v>
      </c>
      <c r="D54">
        <f t="shared" si="3"/>
        <v>2014.0919354838709</v>
      </c>
      <c r="E54" t="s">
        <v>131</v>
      </c>
      <c r="F54" t="s">
        <v>132</v>
      </c>
      <c r="G54" t="s">
        <v>133</v>
      </c>
    </row>
    <row r="55" spans="1:7" x14ac:dyDescent="0.35">
      <c r="A55" t="s">
        <v>53</v>
      </c>
      <c r="B55" t="s">
        <v>122</v>
      </c>
      <c r="C55">
        <v>4</v>
      </c>
      <c r="D55">
        <f t="shared" si="3"/>
        <v>2017.3112903225806</v>
      </c>
      <c r="E55" t="s">
        <v>131</v>
      </c>
      <c r="F55" t="s">
        <v>132</v>
      </c>
      <c r="G55" t="s">
        <v>133</v>
      </c>
    </row>
    <row r="56" spans="1:7" x14ac:dyDescent="0.35">
      <c r="A56" t="s">
        <v>54</v>
      </c>
      <c r="B56" t="s">
        <v>122</v>
      </c>
      <c r="C56">
        <v>45</v>
      </c>
      <c r="D56">
        <f t="shared" si="3"/>
        <v>1951.3145161290322</v>
      </c>
      <c r="E56" t="s">
        <v>131</v>
      </c>
      <c r="F56" t="s">
        <v>132</v>
      </c>
      <c r="G56" t="s">
        <v>133</v>
      </c>
    </row>
    <row r="57" spans="1:7" x14ac:dyDescent="0.35">
      <c r="A57" t="s">
        <v>55</v>
      </c>
      <c r="B57" t="s">
        <v>123</v>
      </c>
      <c r="C57">
        <v>5</v>
      </c>
      <c r="D57">
        <f>2023-(C57/0.109421235735625)</f>
        <v>1977.3050307704384</v>
      </c>
      <c r="E57" t="s">
        <v>129</v>
      </c>
      <c r="F57" t="s">
        <v>130</v>
      </c>
      <c r="G57" t="s">
        <v>133</v>
      </c>
    </row>
    <row r="58" spans="1:7" x14ac:dyDescent="0.35">
      <c r="A58" t="s">
        <v>56</v>
      </c>
      <c r="B58" t="s">
        <v>123</v>
      </c>
      <c r="C58">
        <v>60</v>
      </c>
      <c r="D58">
        <f t="shared" ref="D58:D68" si="4">2023-(C58/0.109421235735625)</f>
        <v>1474.6603692452597</v>
      </c>
      <c r="E58" t="s">
        <v>129</v>
      </c>
      <c r="F58" t="s">
        <v>130</v>
      </c>
      <c r="G58" t="s">
        <v>134</v>
      </c>
    </row>
    <row r="59" spans="1:7" x14ac:dyDescent="0.35">
      <c r="A59" t="s">
        <v>57</v>
      </c>
      <c r="B59" t="s">
        <v>123</v>
      </c>
      <c r="C59">
        <v>10</v>
      </c>
      <c r="D59">
        <f t="shared" si="4"/>
        <v>1931.6100615408766</v>
      </c>
      <c r="E59" t="s">
        <v>129</v>
      </c>
      <c r="F59" t="s">
        <v>130</v>
      </c>
      <c r="G59" t="s">
        <v>133</v>
      </c>
    </row>
    <row r="60" spans="1:7" x14ac:dyDescent="0.35">
      <c r="A60" t="s">
        <v>58</v>
      </c>
      <c r="B60" t="s">
        <v>123</v>
      </c>
      <c r="C60">
        <v>15</v>
      </c>
      <c r="D60">
        <f t="shared" si="4"/>
        <v>1885.915092311315</v>
      </c>
      <c r="E60" t="s">
        <v>129</v>
      </c>
      <c r="F60" t="s">
        <v>130</v>
      </c>
      <c r="G60" t="s">
        <v>133</v>
      </c>
    </row>
    <row r="61" spans="1:7" x14ac:dyDescent="0.35">
      <c r="A61" t="s">
        <v>59</v>
      </c>
      <c r="B61" t="s">
        <v>123</v>
      </c>
      <c r="C61">
        <v>20</v>
      </c>
      <c r="D61">
        <f t="shared" si="4"/>
        <v>1840.2201230817532</v>
      </c>
      <c r="E61" t="s">
        <v>129</v>
      </c>
      <c r="F61" t="s">
        <v>130</v>
      </c>
      <c r="G61" t="s">
        <v>133</v>
      </c>
    </row>
    <row r="62" spans="1:7" x14ac:dyDescent="0.35">
      <c r="A62" t="s">
        <v>60</v>
      </c>
      <c r="B62" t="s">
        <v>123</v>
      </c>
      <c r="C62">
        <v>25</v>
      </c>
      <c r="D62">
        <f t="shared" si="4"/>
        <v>1794.5251538521916</v>
      </c>
      <c r="E62" t="s">
        <v>129</v>
      </c>
      <c r="F62" t="s">
        <v>130</v>
      </c>
      <c r="G62" t="s">
        <v>134</v>
      </c>
    </row>
    <row r="63" spans="1:7" x14ac:dyDescent="0.35">
      <c r="A63" t="s">
        <v>61</v>
      </c>
      <c r="B63" t="s">
        <v>123</v>
      </c>
      <c r="C63">
        <v>30</v>
      </c>
      <c r="D63">
        <f t="shared" si="4"/>
        <v>1748.83018462263</v>
      </c>
      <c r="E63" t="s">
        <v>129</v>
      </c>
      <c r="F63" t="s">
        <v>130</v>
      </c>
      <c r="G63" t="s">
        <v>134</v>
      </c>
    </row>
    <row r="64" spans="1:7" x14ac:dyDescent="0.35">
      <c r="A64" t="s">
        <v>62</v>
      </c>
      <c r="B64" t="s">
        <v>123</v>
      </c>
      <c r="C64">
        <v>35</v>
      </c>
      <c r="D64">
        <f>2023-(C64/0.109421235735625)</f>
        <v>1703.1352153930682</v>
      </c>
      <c r="E64" t="s">
        <v>129</v>
      </c>
      <c r="F64" t="s">
        <v>130</v>
      </c>
      <c r="G64" t="s">
        <v>134</v>
      </c>
    </row>
    <row r="65" spans="1:7" x14ac:dyDescent="0.35">
      <c r="A65" t="s">
        <v>63</v>
      </c>
      <c r="B65" t="s">
        <v>123</v>
      </c>
      <c r="C65">
        <v>40</v>
      </c>
      <c r="D65">
        <f t="shared" si="4"/>
        <v>1657.4402461635066</v>
      </c>
      <c r="E65" t="s">
        <v>129</v>
      </c>
      <c r="F65" t="s">
        <v>130</v>
      </c>
      <c r="G65" t="s">
        <v>134</v>
      </c>
    </row>
    <row r="66" spans="1:7" x14ac:dyDescent="0.35">
      <c r="A66" t="s">
        <v>64</v>
      </c>
      <c r="B66" t="s">
        <v>123</v>
      </c>
      <c r="C66">
        <v>50</v>
      </c>
      <c r="D66">
        <f t="shared" si="4"/>
        <v>1566.0503077043832</v>
      </c>
      <c r="E66" t="s">
        <v>129</v>
      </c>
      <c r="F66" t="s">
        <v>130</v>
      </c>
      <c r="G66" t="s">
        <v>134</v>
      </c>
    </row>
    <row r="67" spans="1:7" x14ac:dyDescent="0.35">
      <c r="A67" t="s">
        <v>65</v>
      </c>
      <c r="B67" t="s">
        <v>123</v>
      </c>
      <c r="C67">
        <v>70</v>
      </c>
      <c r="D67">
        <f t="shared" si="4"/>
        <v>1383.2704307861363</v>
      </c>
      <c r="E67" t="s">
        <v>129</v>
      </c>
      <c r="F67" t="s">
        <v>130</v>
      </c>
      <c r="G67" t="s">
        <v>134</v>
      </c>
    </row>
    <row r="68" spans="1:7" x14ac:dyDescent="0.35">
      <c r="A68" t="s">
        <v>66</v>
      </c>
      <c r="B68" t="s">
        <v>123</v>
      </c>
      <c r="C68">
        <v>1</v>
      </c>
      <c r="D68">
        <f t="shared" si="4"/>
        <v>2013.8610061540876</v>
      </c>
      <c r="E68" t="s">
        <v>129</v>
      </c>
      <c r="F68" t="s">
        <v>130</v>
      </c>
      <c r="G68" t="s">
        <v>133</v>
      </c>
    </row>
    <row r="69" spans="1:7" x14ac:dyDescent="0.35">
      <c r="A69" t="s">
        <v>67</v>
      </c>
      <c r="B69" t="s">
        <v>124</v>
      </c>
      <c r="C69">
        <v>20</v>
      </c>
      <c r="D69">
        <f>2024.75-(C69/0.631770170009667)</f>
        <v>1993.0929181221172</v>
      </c>
      <c r="E69" t="s">
        <v>127</v>
      </c>
      <c r="F69" t="s">
        <v>128</v>
      </c>
      <c r="G69" t="s">
        <v>133</v>
      </c>
    </row>
    <row r="70" spans="1:7" x14ac:dyDescent="0.35">
      <c r="A70" t="s">
        <v>68</v>
      </c>
      <c r="B70" t="s">
        <v>124</v>
      </c>
      <c r="C70">
        <v>14</v>
      </c>
      <c r="D70">
        <f t="shared" ref="D70:D84" si="5">2024.75-(C70/0.631770170009667)</f>
        <v>2002.5900426854821</v>
      </c>
      <c r="E70" t="s">
        <v>127</v>
      </c>
      <c r="F70" t="s">
        <v>128</v>
      </c>
      <c r="G70" t="s">
        <v>133</v>
      </c>
    </row>
    <row r="71" spans="1:7" x14ac:dyDescent="0.35">
      <c r="A71" t="s">
        <v>69</v>
      </c>
      <c r="B71" t="s">
        <v>124</v>
      </c>
      <c r="C71">
        <v>10</v>
      </c>
      <c r="D71">
        <f t="shared" si="5"/>
        <v>2008.9214590610586</v>
      </c>
      <c r="E71" t="s">
        <v>127</v>
      </c>
      <c r="F71" t="s">
        <v>128</v>
      </c>
      <c r="G71" t="s">
        <v>133</v>
      </c>
    </row>
    <row r="72" spans="1:7" x14ac:dyDescent="0.35">
      <c r="A72" t="s">
        <v>145</v>
      </c>
      <c r="B72" t="s">
        <v>124</v>
      </c>
      <c r="C72">
        <v>52</v>
      </c>
      <c r="D72">
        <f t="shared" ref="D72" si="6">2024.75-(C72/0.631770170009667)</f>
        <v>1942.4415871175045</v>
      </c>
      <c r="E72" t="s">
        <v>127</v>
      </c>
      <c r="F72" t="s">
        <v>128</v>
      </c>
      <c r="G72" t="s">
        <v>133</v>
      </c>
    </row>
    <row r="73" spans="1:7" x14ac:dyDescent="0.35">
      <c r="A73" t="s">
        <v>70</v>
      </c>
      <c r="B73" t="s">
        <v>124</v>
      </c>
      <c r="C73">
        <v>4</v>
      </c>
      <c r="D73">
        <f t="shared" si="5"/>
        <v>2018.4185836244235</v>
      </c>
      <c r="E73" t="s">
        <v>127</v>
      </c>
      <c r="F73" t="s">
        <v>128</v>
      </c>
      <c r="G73" t="s">
        <v>133</v>
      </c>
    </row>
    <row r="74" spans="1:7" x14ac:dyDescent="0.35">
      <c r="A74" t="s">
        <v>71</v>
      </c>
      <c r="B74" t="s">
        <v>124</v>
      </c>
      <c r="C74">
        <v>1</v>
      </c>
      <c r="D74">
        <f t="shared" si="5"/>
        <v>2023.1671459061058</v>
      </c>
      <c r="E74" t="s">
        <v>127</v>
      </c>
      <c r="F74" t="s">
        <v>128</v>
      </c>
      <c r="G74" t="s">
        <v>133</v>
      </c>
    </row>
    <row r="75" spans="1:7" x14ac:dyDescent="0.35">
      <c r="A75" t="s">
        <v>76</v>
      </c>
      <c r="B75" t="s">
        <v>124</v>
      </c>
      <c r="C75">
        <v>36</v>
      </c>
      <c r="D75">
        <f t="shared" si="5"/>
        <v>1967.767252619811</v>
      </c>
      <c r="E75" t="s">
        <v>127</v>
      </c>
      <c r="F75" t="s">
        <v>128</v>
      </c>
      <c r="G75" t="s">
        <v>133</v>
      </c>
    </row>
    <row r="76" spans="1:7" x14ac:dyDescent="0.35">
      <c r="A76" t="s">
        <v>77</v>
      </c>
      <c r="B76" t="s">
        <v>124</v>
      </c>
      <c r="C76">
        <v>48</v>
      </c>
      <c r="D76">
        <f t="shared" si="5"/>
        <v>1948.7730034930812</v>
      </c>
      <c r="E76" t="s">
        <v>127</v>
      </c>
      <c r="F76" t="s">
        <v>128</v>
      </c>
      <c r="G76" t="s">
        <v>133</v>
      </c>
    </row>
    <row r="77" spans="1:7" x14ac:dyDescent="0.35">
      <c r="A77" t="s">
        <v>78</v>
      </c>
      <c r="B77" t="s">
        <v>124</v>
      </c>
      <c r="C77">
        <v>30</v>
      </c>
      <c r="D77">
        <f t="shared" si="5"/>
        <v>1977.2643771831756</v>
      </c>
      <c r="E77" t="s">
        <v>127</v>
      </c>
      <c r="F77" t="s">
        <v>128</v>
      </c>
      <c r="G77" t="s">
        <v>133</v>
      </c>
    </row>
    <row r="78" spans="1:7" x14ac:dyDescent="0.35">
      <c r="A78" t="s">
        <v>79</v>
      </c>
      <c r="B78" t="s">
        <v>124</v>
      </c>
      <c r="C78">
        <v>24</v>
      </c>
      <c r="D78">
        <f t="shared" si="5"/>
        <v>1986.7615017465405</v>
      </c>
      <c r="E78" t="s">
        <v>127</v>
      </c>
      <c r="F78" t="s">
        <v>128</v>
      </c>
      <c r="G78" t="s">
        <v>133</v>
      </c>
    </row>
    <row r="79" spans="1:7" x14ac:dyDescent="0.35">
      <c r="A79" t="s">
        <v>80</v>
      </c>
      <c r="B79" t="s">
        <v>124</v>
      </c>
      <c r="C79">
        <v>42</v>
      </c>
      <c r="D79">
        <f t="shared" si="5"/>
        <v>1958.2701280564461</v>
      </c>
      <c r="E79" t="s">
        <v>127</v>
      </c>
      <c r="F79" t="s">
        <v>128</v>
      </c>
      <c r="G79" t="s">
        <v>133</v>
      </c>
    </row>
    <row r="80" spans="1:7" x14ac:dyDescent="0.35">
      <c r="A80" t="s">
        <v>87</v>
      </c>
      <c r="B80" t="s">
        <v>124</v>
      </c>
      <c r="C80">
        <v>60</v>
      </c>
      <c r="D80">
        <f t="shared" si="5"/>
        <v>1929.7787543663514</v>
      </c>
      <c r="E80" t="s">
        <v>127</v>
      </c>
      <c r="F80" t="s">
        <v>128</v>
      </c>
      <c r="G80" t="s">
        <v>133</v>
      </c>
    </row>
    <row r="81" spans="1:7" x14ac:dyDescent="0.35">
      <c r="A81" t="s">
        <v>88</v>
      </c>
      <c r="B81" t="s">
        <v>124</v>
      </c>
      <c r="C81">
        <v>66</v>
      </c>
      <c r="D81">
        <f t="shared" si="5"/>
        <v>1920.2816298029866</v>
      </c>
      <c r="E81" t="s">
        <v>127</v>
      </c>
      <c r="F81" t="s">
        <v>128</v>
      </c>
      <c r="G81" t="s">
        <v>133</v>
      </c>
    </row>
    <row r="82" spans="1:7" x14ac:dyDescent="0.35">
      <c r="A82" t="s">
        <v>89</v>
      </c>
      <c r="B82" t="s">
        <v>124</v>
      </c>
      <c r="C82">
        <v>70</v>
      </c>
      <c r="D82">
        <f t="shared" si="5"/>
        <v>1913.9502134274101</v>
      </c>
      <c r="E82" t="s">
        <v>127</v>
      </c>
      <c r="F82" t="s">
        <v>128</v>
      </c>
      <c r="G82" t="s">
        <v>133</v>
      </c>
    </row>
    <row r="83" spans="1:7" x14ac:dyDescent="0.35">
      <c r="A83" t="s">
        <v>90</v>
      </c>
      <c r="B83" t="s">
        <v>124</v>
      </c>
      <c r="C83">
        <v>80</v>
      </c>
      <c r="D83">
        <f t="shared" si="5"/>
        <v>1898.1216724884684</v>
      </c>
      <c r="E83" t="s">
        <v>127</v>
      </c>
      <c r="F83" t="s">
        <v>128</v>
      </c>
      <c r="G83" t="s">
        <v>133</v>
      </c>
    </row>
    <row r="84" spans="1:7" x14ac:dyDescent="0.35">
      <c r="A84" t="s">
        <v>91</v>
      </c>
      <c r="B84" t="s">
        <v>124</v>
      </c>
      <c r="C84">
        <v>86</v>
      </c>
      <c r="D84">
        <f t="shared" si="5"/>
        <v>1888.6245479251038</v>
      </c>
      <c r="E84" t="s">
        <v>127</v>
      </c>
      <c r="F84" t="s">
        <v>128</v>
      </c>
      <c r="G84" t="s">
        <v>133</v>
      </c>
    </row>
    <row r="85" spans="1:7" x14ac:dyDescent="0.35">
      <c r="A85" t="s">
        <v>72</v>
      </c>
      <c r="B85" t="s">
        <v>125</v>
      </c>
      <c r="C85">
        <v>36</v>
      </c>
      <c r="D85">
        <f>2023-(C85/0.419051600938427)</f>
        <v>1937.0917254119031</v>
      </c>
      <c r="E85" t="s">
        <v>127</v>
      </c>
      <c r="F85" t="s">
        <v>128</v>
      </c>
      <c r="G85" t="s">
        <v>133</v>
      </c>
    </row>
    <row r="86" spans="1:7" x14ac:dyDescent="0.35">
      <c r="A86" t="s">
        <v>146</v>
      </c>
      <c r="B86" t="s">
        <v>125</v>
      </c>
      <c r="C86">
        <v>52</v>
      </c>
      <c r="D86">
        <f t="shared" ref="D86" si="7">2023-(C86/0.419051600938427)</f>
        <v>1898.9102700394155</v>
      </c>
      <c r="E86" t="s">
        <v>127</v>
      </c>
      <c r="F86" t="s">
        <v>128</v>
      </c>
      <c r="G86" t="s">
        <v>133</v>
      </c>
    </row>
    <row r="87" spans="1:7" x14ac:dyDescent="0.35">
      <c r="A87" t="s">
        <v>73</v>
      </c>
      <c r="B87" t="s">
        <v>125</v>
      </c>
      <c r="C87">
        <v>40</v>
      </c>
      <c r="D87">
        <f t="shared" ref="D87:D100" si="8">2023-(C87/0.419051600938427)</f>
        <v>1927.5463615687813</v>
      </c>
      <c r="E87" t="s">
        <v>127</v>
      </c>
      <c r="F87" t="s">
        <v>128</v>
      </c>
      <c r="G87" t="s">
        <v>133</v>
      </c>
    </row>
    <row r="88" spans="1:7" x14ac:dyDescent="0.35">
      <c r="A88" t="s">
        <v>74</v>
      </c>
      <c r="B88" t="s">
        <v>125</v>
      </c>
      <c r="C88">
        <v>50</v>
      </c>
      <c r="D88">
        <f t="shared" si="8"/>
        <v>1903.6829519609764</v>
      </c>
      <c r="E88" t="s">
        <v>127</v>
      </c>
      <c r="F88" t="s">
        <v>128</v>
      </c>
      <c r="G88" t="s">
        <v>133</v>
      </c>
    </row>
    <row r="89" spans="1:7" x14ac:dyDescent="0.35">
      <c r="A89" t="s">
        <v>75</v>
      </c>
      <c r="B89" t="s">
        <v>125</v>
      </c>
      <c r="C89">
        <v>56</v>
      </c>
      <c r="D89">
        <f t="shared" si="8"/>
        <v>1889.3649061962938</v>
      </c>
      <c r="E89" t="s">
        <v>127</v>
      </c>
      <c r="F89" t="s">
        <v>128</v>
      </c>
      <c r="G89" t="s">
        <v>133</v>
      </c>
    </row>
    <row r="90" spans="1:7" x14ac:dyDescent="0.35">
      <c r="A90" t="s">
        <v>81</v>
      </c>
      <c r="B90" t="s">
        <v>125</v>
      </c>
      <c r="C90">
        <v>14</v>
      </c>
      <c r="D90">
        <f t="shared" si="8"/>
        <v>1989.5912265490733</v>
      </c>
      <c r="E90" t="s">
        <v>127</v>
      </c>
      <c r="F90" t="s">
        <v>128</v>
      </c>
      <c r="G90" t="s">
        <v>133</v>
      </c>
    </row>
    <row r="91" spans="1:7" x14ac:dyDescent="0.35">
      <c r="A91" t="s">
        <v>82</v>
      </c>
      <c r="B91" t="s">
        <v>125</v>
      </c>
      <c r="C91">
        <v>2</v>
      </c>
      <c r="D91">
        <f t="shared" si="8"/>
        <v>2018.2273180784391</v>
      </c>
      <c r="E91" t="s">
        <v>127</v>
      </c>
      <c r="F91" t="s">
        <v>128</v>
      </c>
      <c r="G91" t="s">
        <v>133</v>
      </c>
    </row>
    <row r="92" spans="1:7" x14ac:dyDescent="0.35">
      <c r="A92" t="s">
        <v>83</v>
      </c>
      <c r="B92" t="s">
        <v>125</v>
      </c>
      <c r="C92">
        <v>20</v>
      </c>
      <c r="D92">
        <f t="shared" si="8"/>
        <v>1975.2731807843907</v>
      </c>
      <c r="E92" t="s">
        <v>127</v>
      </c>
      <c r="F92" t="s">
        <v>128</v>
      </c>
      <c r="G92" t="s">
        <v>133</v>
      </c>
    </row>
    <row r="93" spans="1:7" x14ac:dyDescent="0.35">
      <c r="A93" t="s">
        <v>84</v>
      </c>
      <c r="B93" t="s">
        <v>125</v>
      </c>
      <c r="C93">
        <v>26</v>
      </c>
      <c r="D93">
        <f t="shared" si="8"/>
        <v>1960.9551350197078</v>
      </c>
      <c r="E93" t="s">
        <v>127</v>
      </c>
      <c r="F93" t="s">
        <v>128</v>
      </c>
      <c r="G93" t="s">
        <v>133</v>
      </c>
    </row>
    <row r="94" spans="1:7" x14ac:dyDescent="0.35">
      <c r="A94" t="s">
        <v>85</v>
      </c>
      <c r="B94" t="s">
        <v>125</v>
      </c>
      <c r="C94">
        <v>30</v>
      </c>
      <c r="D94">
        <f t="shared" si="8"/>
        <v>1951.409771176586</v>
      </c>
      <c r="E94" t="s">
        <v>127</v>
      </c>
      <c r="F94" t="s">
        <v>128</v>
      </c>
      <c r="G94" t="s">
        <v>133</v>
      </c>
    </row>
    <row r="95" spans="1:7" x14ac:dyDescent="0.35">
      <c r="A95" t="s">
        <v>86</v>
      </c>
      <c r="B95" t="s">
        <v>125</v>
      </c>
      <c r="C95">
        <v>8</v>
      </c>
      <c r="D95">
        <f t="shared" si="8"/>
        <v>2003.9092723137562</v>
      </c>
      <c r="E95" t="s">
        <v>127</v>
      </c>
      <c r="F95" t="s">
        <v>128</v>
      </c>
      <c r="G95" t="s">
        <v>133</v>
      </c>
    </row>
    <row r="96" spans="1:7" x14ac:dyDescent="0.35">
      <c r="A96" t="s">
        <v>92</v>
      </c>
      <c r="B96" t="s">
        <v>125</v>
      </c>
      <c r="C96">
        <v>60</v>
      </c>
      <c r="D96">
        <f t="shared" si="8"/>
        <v>1879.8195423531718</v>
      </c>
      <c r="E96" t="s">
        <v>127</v>
      </c>
      <c r="F96" t="s">
        <v>128</v>
      </c>
      <c r="G96" t="s">
        <v>133</v>
      </c>
    </row>
    <row r="97" spans="1:7" x14ac:dyDescent="0.35">
      <c r="A97" t="s">
        <v>93</v>
      </c>
      <c r="B97" t="s">
        <v>125</v>
      </c>
      <c r="C97">
        <v>66</v>
      </c>
      <c r="D97">
        <f t="shared" si="8"/>
        <v>1865.5014965884889</v>
      </c>
      <c r="E97" t="s">
        <v>127</v>
      </c>
      <c r="F97" t="s">
        <v>128</v>
      </c>
      <c r="G97" t="s">
        <v>133</v>
      </c>
    </row>
    <row r="98" spans="1:7" x14ac:dyDescent="0.35">
      <c r="A98" t="s">
        <v>94</v>
      </c>
      <c r="B98" t="s">
        <v>125</v>
      </c>
      <c r="C98">
        <v>70</v>
      </c>
      <c r="D98">
        <f t="shared" si="8"/>
        <v>1855.9561327453671</v>
      </c>
      <c r="E98" t="s">
        <v>127</v>
      </c>
      <c r="F98" t="s">
        <v>128</v>
      </c>
      <c r="G98" t="s">
        <v>133</v>
      </c>
    </row>
    <row r="99" spans="1:7" x14ac:dyDescent="0.35">
      <c r="A99" t="s">
        <v>95</v>
      </c>
      <c r="B99" t="s">
        <v>125</v>
      </c>
      <c r="C99">
        <v>80</v>
      </c>
      <c r="D99">
        <f t="shared" si="8"/>
        <v>1832.0927231375624</v>
      </c>
      <c r="E99" t="s">
        <v>127</v>
      </c>
      <c r="F99" t="s">
        <v>128</v>
      </c>
      <c r="G99" t="s">
        <v>133</v>
      </c>
    </row>
    <row r="100" spans="1:7" x14ac:dyDescent="0.35">
      <c r="A100" t="s">
        <v>96</v>
      </c>
      <c r="B100" t="s">
        <v>125</v>
      </c>
      <c r="C100">
        <v>86</v>
      </c>
      <c r="D100">
        <f t="shared" si="8"/>
        <v>1817.7746773728795</v>
      </c>
      <c r="E100" t="s">
        <v>127</v>
      </c>
      <c r="F100" t="s">
        <v>128</v>
      </c>
      <c r="G100" t="s">
        <v>134</v>
      </c>
    </row>
    <row r="101" spans="1:7" x14ac:dyDescent="0.35">
      <c r="A101" t="s">
        <v>97</v>
      </c>
      <c r="B101" t="s">
        <v>126</v>
      </c>
      <c r="C101">
        <v>19</v>
      </c>
      <c r="D101">
        <f>2023.75-(C101/0.1)</f>
        <v>1833.75</v>
      </c>
      <c r="E101" t="s">
        <v>131</v>
      </c>
      <c r="F101" t="s">
        <v>132</v>
      </c>
      <c r="G101" t="s">
        <v>134</v>
      </c>
    </row>
    <row r="102" spans="1:7" x14ac:dyDescent="0.35">
      <c r="A102" t="s">
        <v>98</v>
      </c>
      <c r="B102" t="s">
        <v>126</v>
      </c>
      <c r="C102">
        <v>29</v>
      </c>
      <c r="D102">
        <f t="shared" ref="D102:D114" si="9">2023.75-(C102/0.1)</f>
        <v>1733.75</v>
      </c>
      <c r="E102" t="s">
        <v>131</v>
      </c>
      <c r="F102" t="s">
        <v>132</v>
      </c>
      <c r="G102" t="s">
        <v>134</v>
      </c>
    </row>
    <row r="103" spans="1:7" x14ac:dyDescent="0.35">
      <c r="A103" t="s">
        <v>99</v>
      </c>
      <c r="B103" t="s">
        <v>126</v>
      </c>
      <c r="C103">
        <v>3</v>
      </c>
      <c r="D103">
        <f t="shared" si="9"/>
        <v>1993.75</v>
      </c>
      <c r="E103" t="s">
        <v>131</v>
      </c>
      <c r="F103" t="s">
        <v>132</v>
      </c>
      <c r="G103" t="s">
        <v>133</v>
      </c>
    </row>
    <row r="104" spans="1:7" x14ac:dyDescent="0.35">
      <c r="A104" t="s">
        <v>100</v>
      </c>
      <c r="B104" t="s">
        <v>126</v>
      </c>
      <c r="C104">
        <v>39</v>
      </c>
      <c r="D104">
        <f t="shared" si="9"/>
        <v>1633.75</v>
      </c>
      <c r="E104" t="s">
        <v>131</v>
      </c>
      <c r="F104" t="s">
        <v>132</v>
      </c>
      <c r="G104" t="s">
        <v>134</v>
      </c>
    </row>
    <row r="105" spans="1:7" x14ac:dyDescent="0.35">
      <c r="A105" t="s">
        <v>101</v>
      </c>
      <c r="B105" t="s">
        <v>126</v>
      </c>
      <c r="C105">
        <v>49</v>
      </c>
      <c r="D105">
        <f t="shared" si="9"/>
        <v>1533.75</v>
      </c>
      <c r="E105" t="s">
        <v>131</v>
      </c>
      <c r="F105" t="s">
        <v>132</v>
      </c>
      <c r="G105" t="s">
        <v>134</v>
      </c>
    </row>
    <row r="106" spans="1:7" x14ac:dyDescent="0.35">
      <c r="A106" t="s">
        <v>102</v>
      </c>
      <c r="B106" t="s">
        <v>126</v>
      </c>
      <c r="C106">
        <v>50</v>
      </c>
      <c r="D106">
        <f t="shared" si="9"/>
        <v>1523.75</v>
      </c>
      <c r="E106" t="s">
        <v>131</v>
      </c>
      <c r="F106" t="s">
        <v>132</v>
      </c>
      <c r="G106" t="s">
        <v>134</v>
      </c>
    </row>
    <row r="107" spans="1:7" x14ac:dyDescent="0.35">
      <c r="A107" t="s">
        <v>103</v>
      </c>
      <c r="B107" t="s">
        <v>126</v>
      </c>
      <c r="C107">
        <v>69</v>
      </c>
      <c r="D107">
        <f t="shared" si="9"/>
        <v>1333.75</v>
      </c>
      <c r="E107" t="s">
        <v>131</v>
      </c>
      <c r="F107" t="s">
        <v>132</v>
      </c>
      <c r="G107" t="s">
        <v>134</v>
      </c>
    </row>
    <row r="108" spans="1:7" x14ac:dyDescent="0.35">
      <c r="A108" t="s">
        <v>104</v>
      </c>
      <c r="B108" t="s">
        <v>126</v>
      </c>
      <c r="C108">
        <v>79</v>
      </c>
      <c r="D108">
        <f t="shared" si="9"/>
        <v>1233.75</v>
      </c>
      <c r="E108" t="s">
        <v>131</v>
      </c>
      <c r="F108" t="s">
        <v>132</v>
      </c>
      <c r="G108" t="s">
        <v>134</v>
      </c>
    </row>
    <row r="109" spans="1:7" x14ac:dyDescent="0.35">
      <c r="A109" t="s">
        <v>105</v>
      </c>
      <c r="B109" t="s">
        <v>126</v>
      </c>
      <c r="C109">
        <v>9</v>
      </c>
      <c r="D109">
        <f t="shared" si="9"/>
        <v>1933.75</v>
      </c>
      <c r="E109" t="s">
        <v>131</v>
      </c>
      <c r="F109" t="s">
        <v>132</v>
      </c>
      <c r="G109" t="s">
        <v>133</v>
      </c>
    </row>
    <row r="110" spans="1:7" x14ac:dyDescent="0.35">
      <c r="A110" t="s">
        <v>106</v>
      </c>
      <c r="B110" t="s">
        <v>126</v>
      </c>
      <c r="C110">
        <v>89</v>
      </c>
      <c r="D110">
        <f t="shared" si="9"/>
        <v>1133.75</v>
      </c>
      <c r="E110" t="s">
        <v>131</v>
      </c>
      <c r="F110" t="s">
        <v>132</v>
      </c>
      <c r="G110" t="s">
        <v>134</v>
      </c>
    </row>
    <row r="111" spans="1:7" x14ac:dyDescent="0.35">
      <c r="A111" t="s">
        <v>107</v>
      </c>
      <c r="B111" t="s">
        <v>126</v>
      </c>
      <c r="C111">
        <v>23</v>
      </c>
      <c r="D111">
        <f t="shared" si="9"/>
        <v>1793.75</v>
      </c>
      <c r="E111" t="s">
        <v>131</v>
      </c>
      <c r="F111" t="s">
        <v>132</v>
      </c>
      <c r="G111" t="s">
        <v>134</v>
      </c>
    </row>
    <row r="112" spans="1:7" x14ac:dyDescent="0.35">
      <c r="A112" t="s">
        <v>108</v>
      </c>
      <c r="B112" t="s">
        <v>126</v>
      </c>
      <c r="C112">
        <v>5</v>
      </c>
      <c r="D112">
        <f t="shared" si="9"/>
        <v>1973.75</v>
      </c>
      <c r="E112" t="s">
        <v>131</v>
      </c>
      <c r="F112" t="s">
        <v>132</v>
      </c>
      <c r="G112" t="s">
        <v>133</v>
      </c>
    </row>
    <row r="113" spans="1:7" x14ac:dyDescent="0.35">
      <c r="A113" t="s">
        <v>109</v>
      </c>
      <c r="B113" t="s">
        <v>126</v>
      </c>
      <c r="C113">
        <v>50</v>
      </c>
      <c r="D113">
        <f t="shared" si="9"/>
        <v>1523.75</v>
      </c>
      <c r="E113" t="s">
        <v>131</v>
      </c>
      <c r="F113" t="s">
        <v>132</v>
      </c>
      <c r="G113" t="s">
        <v>134</v>
      </c>
    </row>
    <row r="114" spans="1:7" x14ac:dyDescent="0.35">
      <c r="A114" t="s">
        <v>110</v>
      </c>
      <c r="B114" t="s">
        <v>126</v>
      </c>
      <c r="C114">
        <v>85</v>
      </c>
      <c r="D114">
        <f t="shared" si="9"/>
        <v>1173.75</v>
      </c>
      <c r="E114" t="s">
        <v>131</v>
      </c>
      <c r="F114" t="s">
        <v>132</v>
      </c>
      <c r="G114" t="s">
        <v>134</v>
      </c>
    </row>
    <row r="115" spans="1:7" x14ac:dyDescent="0.35">
      <c r="A115" t="s">
        <v>111</v>
      </c>
      <c r="B115" t="s">
        <v>126</v>
      </c>
      <c r="C115">
        <v>59</v>
      </c>
      <c r="D115">
        <f>2023.75-(C115/0.1)</f>
        <v>1433.75</v>
      </c>
      <c r="E115" t="s">
        <v>131</v>
      </c>
      <c r="F115" t="s">
        <v>132</v>
      </c>
      <c r="G115" t="s">
        <v>134</v>
      </c>
    </row>
    <row r="116" spans="1:7" x14ac:dyDescent="0.35">
      <c r="A116" t="s">
        <v>135</v>
      </c>
      <c r="B116" t="s">
        <v>123</v>
      </c>
      <c r="C116">
        <v>60</v>
      </c>
      <c r="D116">
        <f>2023-(C116/0.109421235735625)</f>
        <v>1474.6603692452597</v>
      </c>
      <c r="E116" t="s">
        <v>129</v>
      </c>
      <c r="F116" t="s">
        <v>130</v>
      </c>
      <c r="G116" t="s">
        <v>134</v>
      </c>
    </row>
    <row r="117" spans="1:7" x14ac:dyDescent="0.35">
      <c r="A117" t="s">
        <v>136</v>
      </c>
      <c r="B117" t="s">
        <v>123</v>
      </c>
      <c r="C117">
        <v>10</v>
      </c>
      <c r="D117">
        <f t="shared" ref="D117:D125" si="10">2023-(C117/0.109421235735625)</f>
        <v>1931.6100615408766</v>
      </c>
      <c r="E117" t="s">
        <v>129</v>
      </c>
      <c r="F117" t="s">
        <v>130</v>
      </c>
      <c r="G117" t="s">
        <v>133</v>
      </c>
    </row>
    <row r="118" spans="1:7" x14ac:dyDescent="0.35">
      <c r="A118" t="s">
        <v>137</v>
      </c>
      <c r="B118" t="s">
        <v>123</v>
      </c>
      <c r="C118">
        <v>15</v>
      </c>
      <c r="D118">
        <f t="shared" si="10"/>
        <v>1885.915092311315</v>
      </c>
      <c r="E118" t="s">
        <v>129</v>
      </c>
      <c r="F118" t="s">
        <v>130</v>
      </c>
      <c r="G118" t="s">
        <v>133</v>
      </c>
    </row>
    <row r="119" spans="1:7" x14ac:dyDescent="0.35">
      <c r="A119" t="s">
        <v>138</v>
      </c>
      <c r="B119" t="s">
        <v>123</v>
      </c>
      <c r="C119">
        <v>20</v>
      </c>
      <c r="D119">
        <f t="shared" si="10"/>
        <v>1840.2201230817532</v>
      </c>
      <c r="E119" t="s">
        <v>129</v>
      </c>
      <c r="F119" t="s">
        <v>130</v>
      </c>
      <c r="G119" t="s">
        <v>133</v>
      </c>
    </row>
    <row r="120" spans="1:7" x14ac:dyDescent="0.35">
      <c r="A120" t="s">
        <v>139</v>
      </c>
      <c r="B120" t="s">
        <v>123</v>
      </c>
      <c r="C120">
        <v>25</v>
      </c>
      <c r="D120">
        <f t="shared" si="10"/>
        <v>1794.5251538521916</v>
      </c>
      <c r="E120" t="s">
        <v>129</v>
      </c>
      <c r="F120" t="s">
        <v>130</v>
      </c>
      <c r="G120" t="s">
        <v>134</v>
      </c>
    </row>
    <row r="121" spans="1:7" x14ac:dyDescent="0.35">
      <c r="A121" t="s">
        <v>140</v>
      </c>
      <c r="B121" t="s">
        <v>123</v>
      </c>
      <c r="C121">
        <v>30</v>
      </c>
      <c r="D121">
        <f t="shared" si="10"/>
        <v>1748.83018462263</v>
      </c>
      <c r="E121" t="s">
        <v>129</v>
      </c>
      <c r="F121" t="s">
        <v>130</v>
      </c>
      <c r="G121" t="s">
        <v>134</v>
      </c>
    </row>
    <row r="122" spans="1:7" x14ac:dyDescent="0.35">
      <c r="A122" t="s">
        <v>141</v>
      </c>
      <c r="B122" t="s">
        <v>123</v>
      </c>
      <c r="C122">
        <v>35</v>
      </c>
      <c r="D122">
        <f t="shared" si="10"/>
        <v>1703.1352153930682</v>
      </c>
      <c r="E122" t="s">
        <v>129</v>
      </c>
      <c r="F122" t="s">
        <v>130</v>
      </c>
      <c r="G122" t="s">
        <v>134</v>
      </c>
    </row>
    <row r="123" spans="1:7" x14ac:dyDescent="0.35">
      <c r="A123" t="s">
        <v>142</v>
      </c>
      <c r="B123" t="s">
        <v>123</v>
      </c>
      <c r="C123">
        <v>40</v>
      </c>
      <c r="D123">
        <f t="shared" si="10"/>
        <v>1657.4402461635066</v>
      </c>
      <c r="E123" t="s">
        <v>129</v>
      </c>
      <c r="F123" t="s">
        <v>130</v>
      </c>
      <c r="G123" t="s">
        <v>134</v>
      </c>
    </row>
    <row r="124" spans="1:7" x14ac:dyDescent="0.35">
      <c r="A124" t="s">
        <v>143</v>
      </c>
      <c r="B124" t="s">
        <v>123</v>
      </c>
      <c r="C124">
        <v>50</v>
      </c>
      <c r="D124">
        <f t="shared" si="10"/>
        <v>1566.0503077043832</v>
      </c>
      <c r="E124" t="s">
        <v>129</v>
      </c>
      <c r="F124" t="s">
        <v>130</v>
      </c>
      <c r="G124" t="s">
        <v>134</v>
      </c>
    </row>
    <row r="125" spans="1:7" x14ac:dyDescent="0.35">
      <c r="A125" t="s">
        <v>144</v>
      </c>
      <c r="B125" t="s">
        <v>123</v>
      </c>
      <c r="C125">
        <v>70</v>
      </c>
      <c r="D125">
        <f t="shared" si="10"/>
        <v>1383.2704307861363</v>
      </c>
      <c r="E125" t="s">
        <v>129</v>
      </c>
      <c r="F125" t="s">
        <v>130</v>
      </c>
      <c r="G12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Baños</dc:creator>
  <cp:lastModifiedBy>Elena Baños Lara</cp:lastModifiedBy>
  <dcterms:created xsi:type="dcterms:W3CDTF">2026-04-17T10:39:42Z</dcterms:created>
  <dcterms:modified xsi:type="dcterms:W3CDTF">2026-09-10T15:02:44Z</dcterms:modified>
</cp:coreProperties>
</file>